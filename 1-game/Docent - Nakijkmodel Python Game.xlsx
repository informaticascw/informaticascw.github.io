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backupFile="1" defaultThemeVersion="124226"/>
  <mc:AlternateContent xmlns:mc="http://schemas.openxmlformats.org/markup-compatibility/2006">
    <mc:Choice Requires="x15">
      <x15ac:absPath xmlns:x15ac="http://schemas.microsoft.com/office/spreadsheetml/2010/11/ac" url="/Users/gee/Desktop/"/>
    </mc:Choice>
  </mc:AlternateContent>
  <xr:revisionPtr revIDLastSave="0" documentId="13_ncr:1_{5BD9EC22-1DA9-5D48-93C0-52367A465D8B}" xr6:coauthVersionLast="47" xr6:coauthVersionMax="47" xr10:uidLastSave="{00000000-0000-0000-0000-000000000000}"/>
  <bookViews>
    <workbookView xWindow="280" yWindow="2180" windowWidth="34560" windowHeight="19980" xr2:uid="{00000000-000D-0000-FFFF-FFFF00000000}"/>
  </bookViews>
  <sheets>
    <sheet name="Score-havo" sheetId="1" r:id="rId1"/>
    <sheet name="Score-vwo" sheetId="3" r:id="rId2"/>
    <sheet name="Normering"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 l="1"/>
  <c r="C20" i="1"/>
  <c r="C19" i="1"/>
  <c r="C18" i="1"/>
  <c r="C17" i="1"/>
  <c r="C16" i="1"/>
  <c r="C15" i="1"/>
  <c r="C14" i="1"/>
  <c r="C13" i="1"/>
  <c r="C12" i="1"/>
  <c r="C11" i="1"/>
  <c r="C10" i="1"/>
  <c r="C9" i="1"/>
  <c r="C8" i="1"/>
  <c r="C7" i="1"/>
  <c r="C6" i="1"/>
  <c r="C20" i="3"/>
  <c r="C18" i="3"/>
  <c r="C16" i="3"/>
  <c r="C14" i="3"/>
  <c r="C12" i="3"/>
  <c r="C10" i="3"/>
  <c r="C8" i="3"/>
  <c r="C24" i="2"/>
  <c r="B24" i="2"/>
  <c r="C17" i="3"/>
  <c r="C15" i="3"/>
  <c r="C13" i="3"/>
  <c r="C11" i="3"/>
  <c r="C9" i="3"/>
  <c r="C7" i="3"/>
  <c r="C6" i="3"/>
  <c r="C21" i="3" l="1"/>
  <c r="C19" i="3"/>
</calcChain>
</file>

<file path=xl/sharedStrings.xml><?xml version="1.0" encoding="utf-8"?>
<sst xmlns="http://schemas.openxmlformats.org/spreadsheetml/2006/main" count="117" uniqueCount="72">
  <si>
    <t>Namen</t>
  </si>
  <si>
    <t>Cijfer</t>
  </si>
  <si>
    <t>Groep 1</t>
  </si>
  <si>
    <t>Groep 2</t>
  </si>
  <si>
    <t>Groep 4</t>
  </si>
  <si>
    <t>Groep 5</t>
  </si>
  <si>
    <t>Onderdeel</t>
  </si>
  <si>
    <t>Groep 7</t>
  </si>
  <si>
    <t>Groep 9</t>
  </si>
  <si>
    <t>Inleveren</t>
  </si>
  <si>
    <t>Uitbreidingen</t>
  </si>
  <si>
    <t>Proces</t>
  </si>
  <si>
    <t>Code</t>
  </si>
  <si>
    <t>Basisfunctionaliteit</t>
  </si>
  <si>
    <t>Functionaliteit</t>
  </si>
  <si>
    <t>Speelbaarheid</t>
  </si>
  <si>
    <t>Per dag te laat hier 10 punten invullen, gaat direct van het eindcijfer af. Bij gebruik van GitHub is te laat inleveren niet mogelijk (tenzij de leerling nooit begonnen is): de versie die op de deadline in GitHub stond wordt beoordeeld.</t>
  </si>
  <si>
    <t>Groep</t>
  </si>
  <si>
    <t>Handmatige correctie</t>
  </si>
  <si>
    <t>Beoordeel dit door het spel te spelen</t>
  </si>
  <si>
    <t>Beoordeel dit door de code te bekijken</t>
  </si>
  <si>
    <t>Beoordeel dit door github te bekijken</t>
  </si>
  <si>
    <t>Minimale eisen</t>
  </si>
  <si>
    <t xml:space="preserve">Je krijgt één cijfer per team, maar de docent kan hiervan afwijken als teamleden geen gelijkwaardige bijdrage hebben geleverd. </t>
  </si>
  <si>
    <t>Cijfer per team</t>
  </si>
  <si>
    <t>Groep 12</t>
  </si>
  <si>
    <t>Groep 14</t>
  </si>
  <si>
    <t>Groep 15</t>
  </si>
  <si>
    <t>Groep 16</t>
  </si>
  <si>
    <t>PO Python Game</t>
  </si>
  <si>
    <t>Gratis</t>
  </si>
  <si>
    <t>Groep 3</t>
  </si>
  <si>
    <t>Groep 6</t>
  </si>
  <si>
    <t>Groep 8</t>
  </si>
  <si>
    <t>Groep 10</t>
  </si>
  <si>
    <t>Groep 11</t>
  </si>
  <si>
    <t>Groep 13</t>
  </si>
  <si>
    <t>Stijl</t>
  </si>
  <si>
    <t>Samenwerking</t>
  </si>
  <si>
    <t>Planning</t>
  </si>
  <si>
    <t>Punten havo</t>
  </si>
  <si>
    <t>Punten vwo</t>
  </si>
  <si>
    <t>4 (havo) of 3 (vwo) punten per bullet</t>
  </si>
  <si>
    <t>1 punt per bullet</t>
  </si>
  <si>
    <r>
      <t>-3pnt Glitches betekent dat het spel niet reageert zoals bedoelt, maar verder wel goed speelbaar is. B</t>
    </r>
    <r>
      <rPr>
        <sz val="11"/>
        <color rgb="FF000000"/>
        <rFont val="Calibri"/>
        <family val="2"/>
      </rPr>
      <t>ijvoorbeeld bal stuitert soms de verkeerde kant uit, paddle verdwijnt stukje uit scherm. Bij 1 grote glitch 0 punten.
-2pnt Soepele bediening. Bijvoorbeeld aftrek als paddle te snel of te langzaam beweegt om goed te kunnen spelen.</t>
    </r>
  </si>
  <si>
    <t>0 pnt: minder dan de helft van de weken commits
5 pnt: elke week commits</t>
  </si>
  <si>
    <t>0 pnt: één van de teamleden heeft slechts enkele commits gedaan of inhoudelijk substantieel minder bijgedragen
5 pnt: beide teamleden gelijkwaardige bijdrage</t>
  </si>
  <si>
    <t>Normering (voor docent)</t>
  </si>
  <si>
    <t>- Netjes uitgelijnd, 
- helder commentaar, 
- logische naamgeving van variabelen, 
- logische volgorde van opdrachten, 
- consistente code.</t>
  </si>
  <si>
    <t>- geen glitches
- soepele bediening</t>
  </si>
  <si>
    <t>- Bal stuitert tegen randen, 
- plank beweegt en stopt aan de rand van het scherm en laat bal stuiteren, 
- 1 blok waartegen bal stuitert,
- meer dan 10 blokken waartegen bal stuitert,
- blokken verdwijnen, je kunt af gaan en winnen.</t>
  </si>
  <si>
    <t>Uit de commits en/of tijdens de les blijkt dat het stappenplan gevolgd is en dat er regelmatig is gewerkt.</t>
  </si>
  <si>
    <t>Uit de commits en/of tijdens de les blijkt dat het werk gelijk verdeeld is onder teamleden. Als één teamlid beduidend minder doet, dan is dat een gezamenlijke verantwoordelijkheid van het team om dat op te lossen of te melden bij de docent. Maak vanaf het begin afspraken en spreek elkaar daarop aan. Als je er niet uitkomt, dan meld je dat zo snel mogelijk bij je docent.</t>
  </si>
  <si>
    <t>versie 15 juli 2024</t>
  </si>
  <si>
    <t>Er gelden minimale eisen waaraan je opdracht moet voldoen:
- Je hebt je gehouden aan de voorgeschreven werkwijze.
- Je opdracht is fatsoenlijk, dus vrij van beledigende of illegale elementen.
- Je hebt de opdracht helemaal zelf gemaakt, als richtlijn kun je aanhouden dat je maximaal vijf regels code overneemt van anderen of van een tutorial.
Opdrachten die niet voldoen aan de minimale eisen krijgen het cijfer 1,0.</t>
  </si>
  <si>
    <t xml:space="preserve">Toelichting </t>
  </si>
  <si>
    <t>1 + behaalde punten / 10</t>
  </si>
  <si>
    <t>PO Python Game VWO</t>
  </si>
  <si>
    <t>PO Python Game HAVO</t>
  </si>
  <si>
    <t>Basistest</t>
  </si>
  <si>
    <t>Individuele toets in Woots. Geef 3 momenten (tijdens de les) om de toets te maken. Van de eerste twee pogingen die een leerling doet telt het hoogste cijfer. Toets niet maken is 0 punten. Doel van de test is leerlingen eruit filteren die wel de antwoorden hebben, maar niet de stof begrijpen.</t>
  </si>
  <si>
    <t>- Score op test met multiple-choice vragen over de basisstappen (zonder uitbreidingen)</t>
  </si>
  <si>
    <t>Beoordeel dit op basis van het lijstje in uitbreidingen.md, controleer runnende webshop en code, dezelfde uitbreiding meerdere keren onder andere vlag opgevoerd telt maar één keer</t>
  </si>
  <si>
    <t>Eenvoudige uitbreidingen</t>
  </si>
  <si>
    <t>- Eenvoudige uitbreidingen zijn uitbreidingen van één of twee sterren. Elke ster is een punt.</t>
  </si>
  <si>
    <t>1 punt per ster, met een maximum van 15 (havo) of 20 (vwo) punten
- Uitbreidingen van 1 ster zijn uitbreidingen gemaakt met technieken die in de opdracht behandeld zijn, zoals meer artikelen, meer 1:n relaties, meer n:m relaties
- Uitbreidingen van 2 sterren hebben daarnaast veel toegevoegde waarde voor gebruikers.</t>
  </si>
  <si>
    <t xml:space="preserve">Ingewikkelder uitbreidingen </t>
  </si>
  <si>
    <t>- Ingewikkelder uitbreidingen zijn uitbreidingen van drie of vier sterren. Elke ster is een punt.</t>
  </si>
  <si>
    <t>1 punt per ster, met een maximum van 15 (havo) of 20 (vwo) punten.
- Uitbreidingen van 3 sterren hebben een substantiele omvang (meer dan enkele alineas code) en zijn gemaakt met ingewikkelder technieken die je jezelf hebt aangeleerd, zoals een pagina met inlogmogelijkheid waarmee de beheerder dingen kan aanpassen
-  Uitbreidingen van 4 sterren hebben daarnaast veel toegevoegde waarde voor gebruikers.</t>
  </si>
  <si>
    <t>Kleine uitbreidingen</t>
  </si>
  <si>
    <t>Grote uitbreidingen</t>
  </si>
  <si>
    <t>versie 27 december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</si>
</sst>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indexed="8"/>
      <name val="Calibri"/>
      <family val="2"/>
    </font>
    <font>
      <sz val="10"/>
      <name val="Arial"/>
      <family val="2"/>
    </font>
    <font>
      <b/>
      <sz val="10"/>
      <name val="Arial"/>
      <family val="2"/>
    </font>
    <font>
      <sz val="10"/>
      <name val="Arial"/>
      <family val="2"/>
    </font>
    <font>
      <b/>
      <sz val="11"/>
      <color indexed="8"/>
      <name val="Calibri"/>
      <family val="2"/>
    </font>
    <font>
      <sz val="11"/>
      <color rgb="FF000000"/>
      <name val="Calibri"/>
      <family val="2"/>
    </font>
    <font>
      <b/>
      <sz val="20"/>
      <color indexed="8"/>
      <name val="Calibri"/>
      <family val="2"/>
    </font>
  </fonts>
  <fills count="11">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0"/>
        <bgColor indexed="64"/>
      </patternFill>
    </fill>
    <fill>
      <patternFill patternType="solid">
        <fgColor theme="6"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7"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thin">
        <color indexed="64"/>
      </left>
      <right/>
      <top style="thin">
        <color indexed="64"/>
      </top>
      <bottom/>
      <diagonal/>
    </border>
  </borders>
  <cellStyleXfs count="3">
    <xf numFmtId="0" fontId="0" fillId="0" borderId="0"/>
    <xf numFmtId="0" fontId="1" fillId="0" borderId="0"/>
    <xf numFmtId="0" fontId="1" fillId="0" borderId="0"/>
  </cellStyleXfs>
  <cellXfs count="80">
    <xf numFmtId="0" fontId="0" fillId="0" borderId="0" xfId="0"/>
    <xf numFmtId="0" fontId="0" fillId="0" borderId="0" xfId="0" applyAlignment="1">
      <alignment wrapText="1"/>
    </xf>
    <xf numFmtId="0" fontId="4" fillId="0" borderId="0" xfId="0" applyFont="1"/>
    <xf numFmtId="0" fontId="0" fillId="0" borderId="0" xfId="0" applyAlignment="1">
      <alignment textRotation="90"/>
    </xf>
    <xf numFmtId="0" fontId="4" fillId="0" borderId="1" xfId="0" applyFont="1" applyBorder="1"/>
    <xf numFmtId="0" fontId="1" fillId="0" borderId="1" xfId="2" applyBorder="1"/>
    <xf numFmtId="0" fontId="1" fillId="0" borderId="2" xfId="1" applyBorder="1" applyAlignment="1">
      <alignment textRotation="90"/>
    </xf>
    <xf numFmtId="0" fontId="4" fillId="0" borderId="3" xfId="0" applyFont="1" applyBorder="1" applyAlignment="1">
      <alignment textRotation="90"/>
    </xf>
    <xf numFmtId="0" fontId="1" fillId="0" borderId="4" xfId="1" applyBorder="1" applyAlignment="1">
      <alignment wrapText="1"/>
    </xf>
    <xf numFmtId="0" fontId="3" fillId="0" borderId="1" xfId="2" applyFont="1" applyBorder="1"/>
    <xf numFmtId="0" fontId="1" fillId="0" borderId="1" xfId="1" applyBorder="1" applyAlignment="1">
      <alignment textRotation="90"/>
    </xf>
    <xf numFmtId="0" fontId="0" fillId="0" borderId="0" xfId="0" applyAlignment="1">
      <alignment horizontal="center"/>
    </xf>
    <xf numFmtId="0" fontId="0" fillId="4" borderId="8" xfId="0" applyFill="1" applyBorder="1" applyAlignment="1">
      <alignment horizontal="center"/>
    </xf>
    <xf numFmtId="0" fontId="0" fillId="4" borderId="8" xfId="0" applyFill="1" applyBorder="1" applyAlignment="1">
      <alignment wrapText="1"/>
    </xf>
    <xf numFmtId="0" fontId="4" fillId="2" borderId="1" xfId="0" applyFont="1" applyFill="1" applyBorder="1" applyAlignment="1">
      <alignment horizontal="center" textRotation="90" wrapText="1"/>
    </xf>
    <xf numFmtId="0" fontId="0" fillId="4" borderId="2" xfId="0" applyFill="1" applyBorder="1" applyAlignment="1">
      <alignment horizontal="center" vertical="top"/>
    </xf>
    <xf numFmtId="0" fontId="0" fillId="4" borderId="2" xfId="0" applyFill="1" applyBorder="1" applyAlignment="1">
      <alignment vertical="top" wrapText="1"/>
    </xf>
    <xf numFmtId="0" fontId="0" fillId="3" borderId="2" xfId="0" applyFill="1" applyBorder="1" applyAlignment="1">
      <alignment horizontal="center" vertical="top"/>
    </xf>
    <xf numFmtId="0" fontId="0" fillId="3" borderId="2" xfId="0" applyFill="1" applyBorder="1" applyAlignment="1">
      <alignment vertical="top" wrapText="1"/>
    </xf>
    <xf numFmtId="0" fontId="0" fillId="3" borderId="6" xfId="0" applyFill="1" applyBorder="1" applyAlignment="1">
      <alignment horizontal="center" vertical="top"/>
    </xf>
    <xf numFmtId="0" fontId="0" fillId="3" borderId="6" xfId="0" applyFill="1" applyBorder="1" applyAlignment="1">
      <alignment vertical="top" wrapText="1"/>
    </xf>
    <xf numFmtId="0" fontId="4" fillId="0" borderId="9" xfId="0" applyFont="1" applyBorder="1" applyAlignment="1">
      <alignment wrapText="1"/>
    </xf>
    <xf numFmtId="0" fontId="0" fillId="4" borderId="1" xfId="0" applyFill="1" applyBorder="1" applyAlignment="1">
      <alignment textRotation="90"/>
    </xf>
    <xf numFmtId="0" fontId="0" fillId="3" borderId="1" xfId="0" applyFill="1" applyBorder="1" applyAlignment="1">
      <alignment textRotation="90"/>
    </xf>
    <xf numFmtId="0" fontId="0" fillId="0" borderId="6" xfId="0" applyBorder="1"/>
    <xf numFmtId="0" fontId="4" fillId="0" borderId="6" xfId="0" applyFont="1" applyBorder="1"/>
    <xf numFmtId="0" fontId="0" fillId="0" borderId="0" xfId="0" quotePrefix="1" applyAlignment="1">
      <alignment vertical="top" wrapText="1"/>
    </xf>
    <xf numFmtId="0" fontId="0" fillId="0" borderId="0" xfId="0" applyAlignment="1">
      <alignment vertical="top"/>
    </xf>
    <xf numFmtId="0" fontId="0" fillId="0" borderId="0" xfId="0" applyAlignment="1">
      <alignment vertical="top" wrapText="1"/>
    </xf>
    <xf numFmtId="0" fontId="0" fillId="0" borderId="4" xfId="0" applyBorder="1" applyAlignment="1">
      <alignment horizontal="center" vertical="top"/>
    </xf>
    <xf numFmtId="0" fontId="0" fillId="0" borderId="4" xfId="0" applyBorder="1" applyAlignment="1">
      <alignment vertical="top" wrapText="1"/>
    </xf>
    <xf numFmtId="0" fontId="0" fillId="3" borderId="8" xfId="0" applyFill="1" applyBorder="1" applyAlignment="1">
      <alignment horizontal="center" vertical="top"/>
    </xf>
    <xf numFmtId="0" fontId="0" fillId="3" borderId="8" xfId="0" applyFill="1" applyBorder="1" applyAlignment="1">
      <alignment vertical="top" wrapText="1"/>
    </xf>
    <xf numFmtId="0" fontId="6" fillId="0" borderId="0" xfId="0" applyFont="1"/>
    <xf numFmtId="0" fontId="4" fillId="2" borderId="5" xfId="0" applyFont="1" applyFill="1" applyBorder="1" applyAlignment="1">
      <alignment horizontal="center" textRotation="90" wrapText="1"/>
    </xf>
    <xf numFmtId="0" fontId="1" fillId="0" borderId="1" xfId="2" applyBorder="1" applyAlignment="1">
      <alignment horizontal="right"/>
    </xf>
    <xf numFmtId="0" fontId="0" fillId="0" borderId="1" xfId="0" applyBorder="1" applyAlignment="1">
      <alignment horizontal="right" vertical="center"/>
    </xf>
    <xf numFmtId="164" fontId="0" fillId="0" borderId="1" xfId="0" applyNumberFormat="1" applyBorder="1" applyAlignment="1">
      <alignment horizontal="right" vertical="center"/>
    </xf>
    <xf numFmtId="0" fontId="0" fillId="4" borderId="2" xfId="0" quotePrefix="1" applyFill="1" applyBorder="1" applyAlignment="1">
      <alignment vertical="top" wrapText="1"/>
    </xf>
    <xf numFmtId="0" fontId="0" fillId="3" borderId="2" xfId="0" quotePrefix="1" applyFill="1" applyBorder="1" applyAlignment="1">
      <alignment vertical="top" wrapText="1"/>
    </xf>
    <xf numFmtId="0" fontId="0" fillId="3" borderId="6" xfId="0" quotePrefix="1" applyFill="1" applyBorder="1" applyAlignment="1">
      <alignment vertical="top" wrapText="1"/>
    </xf>
    <xf numFmtId="0" fontId="4" fillId="0" borderId="0" xfId="0" applyFont="1" applyAlignment="1">
      <alignment wrapText="1"/>
    </xf>
    <xf numFmtId="0" fontId="0" fillId="6" borderId="6" xfId="0" applyFill="1" applyBorder="1" applyAlignment="1">
      <alignment horizontal="center"/>
    </xf>
    <xf numFmtId="0" fontId="0" fillId="6" borderId="6" xfId="0" applyFill="1" applyBorder="1" applyAlignment="1">
      <alignment vertical="top" wrapText="1"/>
    </xf>
    <xf numFmtId="164" fontId="4" fillId="6" borderId="0" xfId="0" applyNumberFormat="1" applyFont="1" applyFill="1" applyAlignment="1">
      <alignment horizontal="center"/>
    </xf>
    <xf numFmtId="0" fontId="0" fillId="6" borderId="0" xfId="0" applyFill="1" applyAlignment="1">
      <alignment wrapText="1"/>
    </xf>
    <xf numFmtId="9" fontId="0" fillId="7" borderId="8" xfId="0" applyNumberFormat="1" applyFill="1" applyBorder="1" applyAlignment="1">
      <alignment horizontal="center" vertical="top"/>
    </xf>
    <xf numFmtId="0" fontId="0" fillId="7" borderId="8" xfId="0" applyFill="1" applyBorder="1" applyAlignment="1">
      <alignment vertical="top" wrapText="1"/>
    </xf>
    <xf numFmtId="0" fontId="0" fillId="7" borderId="2" xfId="0" applyFill="1" applyBorder="1" applyAlignment="1">
      <alignment horizontal="center" vertical="top"/>
    </xf>
    <xf numFmtId="0" fontId="0" fillId="7" borderId="2" xfId="0" applyFill="1" applyBorder="1" applyAlignment="1">
      <alignment vertical="top" wrapText="1"/>
    </xf>
    <xf numFmtId="0" fontId="4" fillId="4" borderId="8" xfId="0" applyFont="1" applyFill="1" applyBorder="1" applyAlignment="1">
      <alignment wrapText="1"/>
    </xf>
    <xf numFmtId="0" fontId="4" fillId="3" borderId="8" xfId="0" applyFont="1" applyFill="1" applyBorder="1" applyAlignment="1">
      <alignment vertical="top" wrapText="1"/>
    </xf>
    <xf numFmtId="0" fontId="4" fillId="7" borderId="8" xfId="0" applyFont="1" applyFill="1" applyBorder="1" applyAlignment="1">
      <alignment vertical="top" wrapText="1"/>
    </xf>
    <xf numFmtId="0" fontId="4" fillId="6" borderId="0" xfId="0" applyFont="1" applyFill="1" applyAlignment="1">
      <alignment wrapText="1"/>
    </xf>
    <xf numFmtId="0" fontId="0" fillId="6" borderId="2" xfId="0" applyFill="1" applyBorder="1" applyAlignment="1">
      <alignment vertical="top" wrapText="1"/>
    </xf>
    <xf numFmtId="0" fontId="0" fillId="6" borderId="2" xfId="0" applyFill="1" applyBorder="1" applyAlignment="1">
      <alignment horizontal="center"/>
    </xf>
    <xf numFmtId="0" fontId="4" fillId="6" borderId="8" xfId="0" applyFont="1" applyFill="1" applyBorder="1" applyAlignment="1">
      <alignment horizontal="left" wrapText="1"/>
    </xf>
    <xf numFmtId="0" fontId="4" fillId="6" borderId="8" xfId="0" applyFont="1" applyFill="1" applyBorder="1" applyAlignment="1">
      <alignment horizontal="right" wrapText="1"/>
    </xf>
    <xf numFmtId="0" fontId="0" fillId="8" borderId="1" xfId="0" applyFill="1" applyBorder="1" applyAlignment="1">
      <alignment textRotation="90"/>
    </xf>
    <xf numFmtId="0" fontId="1" fillId="9" borderId="1" xfId="2" applyFill="1" applyBorder="1"/>
    <xf numFmtId="164" fontId="0" fillId="9" borderId="1" xfId="0" applyNumberFormat="1" applyFill="1" applyBorder="1" applyAlignment="1">
      <alignment horizontal="right" vertical="center"/>
    </xf>
    <xf numFmtId="0" fontId="0" fillId="9" borderId="1" xfId="0" applyFill="1" applyBorder="1" applyAlignment="1">
      <alignment horizontal="right" vertical="center"/>
    </xf>
    <xf numFmtId="0" fontId="1" fillId="9" borderId="1" xfId="2" applyFill="1" applyBorder="1" applyAlignment="1">
      <alignment horizontal="right"/>
    </xf>
    <xf numFmtId="0" fontId="4" fillId="5" borderId="1" xfId="0" applyFont="1" applyFill="1" applyBorder="1"/>
    <xf numFmtId="0" fontId="2" fillId="5" borderId="1" xfId="2" applyFont="1" applyFill="1" applyBorder="1"/>
    <xf numFmtId="0" fontId="2" fillId="5" borderId="1" xfId="1" applyFont="1" applyFill="1" applyBorder="1"/>
    <xf numFmtId="0" fontId="4" fillId="5" borderId="1" xfId="0" applyFont="1" applyFill="1" applyBorder="1" applyAlignment="1">
      <alignment horizontal="right" vertical="center"/>
    </xf>
    <xf numFmtId="0" fontId="4" fillId="2" borderId="5" xfId="0" applyFont="1" applyFill="1" applyBorder="1" applyAlignment="1">
      <alignment horizontal="center" textRotation="90" wrapText="1"/>
    </xf>
    <xf numFmtId="0" fontId="4" fillId="2" borderId="6" xfId="0" applyFont="1" applyFill="1" applyBorder="1" applyAlignment="1">
      <alignment horizontal="center" textRotation="90" wrapText="1"/>
    </xf>
    <xf numFmtId="0" fontId="4" fillId="2" borderId="7" xfId="0" applyFont="1" applyFill="1" applyBorder="1" applyAlignment="1">
      <alignment horizontal="center" textRotation="90" wrapText="1"/>
    </xf>
    <xf numFmtId="0" fontId="4" fillId="10" borderId="8" xfId="0" applyFont="1" applyFill="1" applyBorder="1" applyAlignment="1">
      <alignment vertical="top" wrapText="1"/>
    </xf>
    <xf numFmtId="0" fontId="0" fillId="10" borderId="8" xfId="0" applyFill="1" applyBorder="1" applyAlignment="1">
      <alignment horizontal="center" vertical="top"/>
    </xf>
    <xf numFmtId="0" fontId="0" fillId="10" borderId="8" xfId="0" applyFill="1" applyBorder="1" applyAlignment="1">
      <alignment vertical="top" wrapText="1"/>
    </xf>
    <xf numFmtId="0" fontId="0" fillId="10" borderId="4" xfId="0" applyFill="1" applyBorder="1" applyAlignment="1">
      <alignment vertical="top" wrapText="1"/>
    </xf>
    <xf numFmtId="0" fontId="0" fillId="10" borderId="4" xfId="0" applyFill="1" applyBorder="1" applyAlignment="1">
      <alignment horizontal="center" vertical="top"/>
    </xf>
    <xf numFmtId="0" fontId="0" fillId="10" borderId="4" xfId="0" quotePrefix="1" applyFill="1" applyBorder="1" applyAlignment="1">
      <alignment vertical="top" wrapText="1"/>
    </xf>
    <xf numFmtId="0" fontId="0" fillId="10" borderId="2" xfId="0" applyFill="1" applyBorder="1" applyAlignment="1">
      <alignment vertical="top" wrapText="1"/>
    </xf>
    <xf numFmtId="0" fontId="0" fillId="10" borderId="2" xfId="0" applyFill="1" applyBorder="1" applyAlignment="1">
      <alignment horizontal="center" vertical="top"/>
    </xf>
    <xf numFmtId="0" fontId="0" fillId="10" borderId="2" xfId="0" quotePrefix="1" applyFill="1" applyBorder="1" applyAlignment="1">
      <alignment vertical="top" wrapText="1"/>
    </xf>
    <xf numFmtId="0" fontId="0" fillId="10" borderId="1" xfId="0" applyFill="1" applyBorder="1" applyAlignment="1">
      <alignment textRotation="90"/>
    </xf>
  </cellXfs>
  <cellStyles count="3">
    <cellStyle name="Normal" xfId="0" builtinId="0"/>
    <cellStyle name="Standaard 2" xfId="1" xr:uid="{00000000-0005-0000-0000-000002000000}"/>
    <cellStyle name="Standaard 4" xfId="2"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1"/>
  <sheetViews>
    <sheetView tabSelected="1" zoomScale="137" zoomScaleNormal="85" workbookViewId="0">
      <selection activeCell="O6" sqref="O6"/>
    </sheetView>
  </sheetViews>
  <sheetFormatPr baseColWidth="10" defaultColWidth="8.83203125" defaultRowHeight="15" x14ac:dyDescent="0.2"/>
  <cols>
    <col min="1" max="1" width="12.1640625" style="2" customWidth="1"/>
    <col min="2" max="2" width="24" customWidth="1"/>
    <col min="3" max="4" width="6.5" customWidth="1"/>
    <col min="5" max="12" width="4.6640625" customWidth="1"/>
    <col min="13" max="13" width="6" customWidth="1"/>
  </cols>
  <sheetData>
    <row r="1" spans="1:13" ht="26" x14ac:dyDescent="0.3">
      <c r="A1" s="33" t="s">
        <v>58</v>
      </c>
    </row>
    <row r="2" spans="1:13" x14ac:dyDescent="0.2">
      <c r="A2" s="2" t="s">
        <v>71</v>
      </c>
    </row>
    <row r="3" spans="1:13" s="1" customFormat="1" ht="77" customHeight="1" x14ac:dyDescent="0.2">
      <c r="A3" s="21"/>
      <c r="B3" s="8"/>
      <c r="C3" s="14"/>
      <c r="D3" s="34"/>
      <c r="E3" s="67" t="s">
        <v>12</v>
      </c>
      <c r="F3" s="68"/>
      <c r="G3" s="67" t="s">
        <v>14</v>
      </c>
      <c r="H3" s="68"/>
      <c r="I3" s="67" t="s">
        <v>10</v>
      </c>
      <c r="J3" s="69"/>
      <c r="K3" s="67" t="s">
        <v>11</v>
      </c>
      <c r="L3" s="69"/>
      <c r="M3" s="14"/>
    </row>
    <row r="4" spans="1:13" s="3" customFormat="1" ht="106" x14ac:dyDescent="0.2">
      <c r="A4" s="7"/>
      <c r="B4" s="6"/>
      <c r="C4" s="10"/>
      <c r="D4" s="10" t="s">
        <v>30</v>
      </c>
      <c r="E4" s="22" t="s">
        <v>37</v>
      </c>
      <c r="F4" s="22" t="s">
        <v>59</v>
      </c>
      <c r="G4" s="23" t="s">
        <v>15</v>
      </c>
      <c r="H4" s="23" t="s">
        <v>13</v>
      </c>
      <c r="I4" s="79" t="s">
        <v>69</v>
      </c>
      <c r="J4" s="79" t="s">
        <v>70</v>
      </c>
      <c r="K4" s="58" t="s">
        <v>39</v>
      </c>
      <c r="L4" s="58" t="s">
        <v>38</v>
      </c>
      <c r="M4" s="10" t="s">
        <v>18</v>
      </c>
    </row>
    <row r="5" spans="1:13" x14ac:dyDescent="0.2">
      <c r="A5" s="63" t="s">
        <v>17</v>
      </c>
      <c r="B5" s="64" t="s">
        <v>0</v>
      </c>
      <c r="C5" s="65" t="s">
        <v>1</v>
      </c>
      <c r="D5" s="66">
        <v>10</v>
      </c>
      <c r="E5" s="66">
        <v>5</v>
      </c>
      <c r="F5" s="66">
        <v>20</v>
      </c>
      <c r="G5" s="66">
        <v>5</v>
      </c>
      <c r="H5" s="66">
        <v>20</v>
      </c>
      <c r="I5" s="66">
        <v>15</v>
      </c>
      <c r="J5" s="66">
        <v>15</v>
      </c>
      <c r="K5" s="66">
        <v>5</v>
      </c>
      <c r="L5" s="66">
        <v>5</v>
      </c>
      <c r="M5" s="64"/>
    </row>
    <row r="6" spans="1:13" x14ac:dyDescent="0.2">
      <c r="A6" s="4" t="s">
        <v>2</v>
      </c>
      <c r="B6" s="59"/>
      <c r="C6" s="60">
        <f t="shared" ref="C6:C21" si="0">SUM(D6:M6)/10</f>
        <v>0</v>
      </c>
      <c r="D6" s="61"/>
      <c r="E6" s="61"/>
      <c r="F6" s="61"/>
      <c r="G6" s="61"/>
      <c r="H6" s="61"/>
      <c r="I6" s="61"/>
      <c r="J6" s="61"/>
      <c r="K6" s="61"/>
      <c r="L6" s="61"/>
      <c r="M6" s="62"/>
    </row>
    <row r="7" spans="1:13" x14ac:dyDescent="0.2">
      <c r="A7" s="4" t="s">
        <v>3</v>
      </c>
      <c r="B7" s="5"/>
      <c r="C7" s="37">
        <f t="shared" si="0"/>
        <v>0</v>
      </c>
      <c r="D7" s="36"/>
      <c r="E7" s="36"/>
      <c r="F7" s="36"/>
      <c r="G7" s="36"/>
      <c r="H7" s="36"/>
      <c r="I7" s="36"/>
      <c r="J7" s="36"/>
      <c r="K7" s="36"/>
      <c r="L7" s="36"/>
      <c r="M7" s="35"/>
    </row>
    <row r="8" spans="1:13" x14ac:dyDescent="0.2">
      <c r="A8" s="4" t="s">
        <v>31</v>
      </c>
      <c r="B8" s="59"/>
      <c r="C8" s="60">
        <f t="shared" si="0"/>
        <v>0</v>
      </c>
      <c r="D8" s="61"/>
      <c r="E8" s="61"/>
      <c r="F8" s="61"/>
      <c r="G8" s="61"/>
      <c r="H8" s="61"/>
      <c r="I8" s="61"/>
      <c r="J8" s="61"/>
      <c r="K8" s="61"/>
      <c r="L8" s="61"/>
      <c r="M8" s="62"/>
    </row>
    <row r="9" spans="1:13" x14ac:dyDescent="0.2">
      <c r="A9" s="4" t="s">
        <v>4</v>
      </c>
      <c r="B9" s="5"/>
      <c r="C9" s="37">
        <f t="shared" si="0"/>
        <v>0</v>
      </c>
      <c r="D9" s="36"/>
      <c r="E9" s="36"/>
      <c r="F9" s="36"/>
      <c r="G9" s="36"/>
      <c r="H9" s="36"/>
      <c r="I9" s="36"/>
      <c r="J9" s="36"/>
      <c r="K9" s="36"/>
      <c r="L9" s="36"/>
      <c r="M9" s="35"/>
    </row>
    <row r="10" spans="1:13" x14ac:dyDescent="0.2">
      <c r="A10" s="4" t="s">
        <v>5</v>
      </c>
      <c r="B10" s="59"/>
      <c r="C10" s="60">
        <f t="shared" si="0"/>
        <v>0</v>
      </c>
      <c r="D10" s="61"/>
      <c r="E10" s="61"/>
      <c r="F10" s="61"/>
      <c r="G10" s="61"/>
      <c r="H10" s="61"/>
      <c r="I10" s="61"/>
      <c r="J10" s="61"/>
      <c r="K10" s="61"/>
      <c r="L10" s="61"/>
      <c r="M10" s="62"/>
    </row>
    <row r="11" spans="1:13" x14ac:dyDescent="0.2">
      <c r="A11" s="4" t="s">
        <v>32</v>
      </c>
      <c r="B11" s="5"/>
      <c r="C11" s="37">
        <f t="shared" si="0"/>
        <v>0</v>
      </c>
      <c r="D11" s="36"/>
      <c r="E11" s="36"/>
      <c r="F11" s="36"/>
      <c r="G11" s="36"/>
      <c r="H11" s="36"/>
      <c r="I11" s="36"/>
      <c r="J11" s="36"/>
      <c r="K11" s="36"/>
      <c r="L11" s="36"/>
      <c r="M11" s="35"/>
    </row>
    <row r="12" spans="1:13" x14ac:dyDescent="0.2">
      <c r="A12" s="4" t="s">
        <v>7</v>
      </c>
      <c r="B12" s="59"/>
      <c r="C12" s="60">
        <f t="shared" si="0"/>
        <v>0</v>
      </c>
      <c r="D12" s="61"/>
      <c r="E12" s="61"/>
      <c r="F12" s="61"/>
      <c r="G12" s="61"/>
      <c r="H12" s="61"/>
      <c r="I12" s="61"/>
      <c r="J12" s="61"/>
      <c r="K12" s="61"/>
      <c r="L12" s="61"/>
      <c r="M12" s="62"/>
    </row>
    <row r="13" spans="1:13" x14ac:dyDescent="0.2">
      <c r="A13" s="4" t="s">
        <v>33</v>
      </c>
      <c r="B13" s="5"/>
      <c r="C13" s="37">
        <f t="shared" si="0"/>
        <v>0</v>
      </c>
      <c r="D13" s="36"/>
      <c r="E13" s="36"/>
      <c r="F13" s="36"/>
      <c r="G13" s="36"/>
      <c r="H13" s="36"/>
      <c r="I13" s="36"/>
      <c r="J13" s="36"/>
      <c r="K13" s="36"/>
      <c r="L13" s="36"/>
      <c r="M13" s="35"/>
    </row>
    <row r="14" spans="1:13" x14ac:dyDescent="0.2">
      <c r="A14" s="4" t="s">
        <v>8</v>
      </c>
      <c r="B14" s="59"/>
      <c r="C14" s="60">
        <f t="shared" si="0"/>
        <v>0</v>
      </c>
      <c r="D14" s="61"/>
      <c r="E14" s="61"/>
      <c r="F14" s="61"/>
      <c r="G14" s="61"/>
      <c r="H14" s="61"/>
      <c r="I14" s="61"/>
      <c r="J14" s="61"/>
      <c r="K14" s="61"/>
      <c r="L14" s="61"/>
      <c r="M14" s="62"/>
    </row>
    <row r="15" spans="1:13" x14ac:dyDescent="0.2">
      <c r="A15" s="4" t="s">
        <v>34</v>
      </c>
      <c r="B15" s="5"/>
      <c r="C15" s="37">
        <f t="shared" si="0"/>
        <v>0</v>
      </c>
      <c r="D15" s="36"/>
      <c r="E15" s="36"/>
      <c r="F15" s="36"/>
      <c r="G15" s="36"/>
      <c r="H15" s="36"/>
      <c r="I15" s="36"/>
      <c r="J15" s="36"/>
      <c r="K15" s="36"/>
      <c r="L15" s="36"/>
      <c r="M15" s="35"/>
    </row>
    <row r="16" spans="1:13" x14ac:dyDescent="0.2">
      <c r="A16" s="4" t="s">
        <v>35</v>
      </c>
      <c r="B16" s="59"/>
      <c r="C16" s="60">
        <f t="shared" si="0"/>
        <v>0</v>
      </c>
      <c r="D16" s="61"/>
      <c r="E16" s="61"/>
      <c r="F16" s="61"/>
      <c r="G16" s="61"/>
      <c r="H16" s="61"/>
      <c r="I16" s="61"/>
      <c r="J16" s="61"/>
      <c r="K16" s="61"/>
      <c r="L16" s="61"/>
      <c r="M16" s="62"/>
    </row>
    <row r="17" spans="1:13" x14ac:dyDescent="0.2">
      <c r="A17" s="4" t="s">
        <v>25</v>
      </c>
      <c r="B17" s="5"/>
      <c r="C17" s="37">
        <f t="shared" si="0"/>
        <v>0</v>
      </c>
      <c r="D17" s="36"/>
      <c r="E17" s="36"/>
      <c r="F17" s="36"/>
      <c r="G17" s="36"/>
      <c r="H17" s="36"/>
      <c r="I17" s="36"/>
      <c r="J17" s="36"/>
      <c r="K17" s="36"/>
      <c r="L17" s="36"/>
      <c r="M17" s="35"/>
    </row>
    <row r="18" spans="1:13" x14ac:dyDescent="0.2">
      <c r="A18" s="4" t="s">
        <v>36</v>
      </c>
      <c r="B18" s="59"/>
      <c r="C18" s="60">
        <f t="shared" si="0"/>
        <v>0</v>
      </c>
      <c r="D18" s="61"/>
      <c r="E18" s="61"/>
      <c r="F18" s="61"/>
      <c r="G18" s="61"/>
      <c r="H18" s="61"/>
      <c r="I18" s="61"/>
      <c r="J18" s="61"/>
      <c r="K18" s="61"/>
      <c r="L18" s="61"/>
      <c r="M18" s="62"/>
    </row>
    <row r="19" spans="1:13" x14ac:dyDescent="0.2">
      <c r="A19" s="4" t="s">
        <v>26</v>
      </c>
      <c r="B19" s="5"/>
      <c r="C19" s="37">
        <f t="shared" si="0"/>
        <v>0</v>
      </c>
      <c r="D19" s="36"/>
      <c r="E19" s="36"/>
      <c r="F19" s="36"/>
      <c r="G19" s="36"/>
      <c r="H19" s="36"/>
      <c r="I19" s="36"/>
      <c r="J19" s="36"/>
      <c r="K19" s="36"/>
      <c r="L19" s="36"/>
      <c r="M19" s="35"/>
    </row>
    <row r="20" spans="1:13" x14ac:dyDescent="0.2">
      <c r="A20" s="4" t="s">
        <v>27</v>
      </c>
      <c r="B20" s="59"/>
      <c r="C20" s="60">
        <f t="shared" si="0"/>
        <v>0</v>
      </c>
      <c r="D20" s="61"/>
      <c r="E20" s="61"/>
      <c r="F20" s="61"/>
      <c r="G20" s="61"/>
      <c r="H20" s="61"/>
      <c r="I20" s="61"/>
      <c r="J20" s="61"/>
      <c r="K20" s="61"/>
      <c r="L20" s="61"/>
      <c r="M20" s="62"/>
    </row>
    <row r="21" spans="1:13" x14ac:dyDescent="0.2">
      <c r="A21" s="4" t="s">
        <v>28</v>
      </c>
      <c r="B21" s="9"/>
      <c r="C21" s="37">
        <f t="shared" si="0"/>
        <v>0</v>
      </c>
      <c r="D21" s="36"/>
      <c r="E21" s="36"/>
      <c r="F21" s="36"/>
      <c r="G21" s="36"/>
      <c r="H21" s="36"/>
      <c r="I21" s="36"/>
      <c r="J21" s="36"/>
      <c r="K21" s="36"/>
      <c r="L21" s="36"/>
      <c r="M21" s="35"/>
    </row>
  </sheetData>
  <mergeCells count="4">
    <mergeCell ref="K3:L3"/>
    <mergeCell ref="E3:F3"/>
    <mergeCell ref="G3:H3"/>
    <mergeCell ref="I3:J3"/>
  </mergeCells>
  <phoneticPr fontId="0" type="noConversion"/>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B56EF-4C6A-F944-B910-28526DEF1789}">
  <dimension ref="A1:M21"/>
  <sheetViews>
    <sheetView zoomScale="137" zoomScaleNormal="85" workbookViewId="0">
      <selection activeCell="A2" sqref="A2"/>
    </sheetView>
  </sheetViews>
  <sheetFormatPr baseColWidth="10" defaultColWidth="8.83203125" defaultRowHeight="15" x14ac:dyDescent="0.2"/>
  <cols>
    <col min="1" max="1" width="12.1640625" style="2" customWidth="1"/>
    <col min="2" max="2" width="24" customWidth="1"/>
    <col min="3" max="4" width="6.5" customWidth="1"/>
    <col min="5" max="12" width="4.6640625" customWidth="1"/>
    <col min="13" max="13" width="6" customWidth="1"/>
  </cols>
  <sheetData>
    <row r="1" spans="1:13" ht="26" x14ac:dyDescent="0.3">
      <c r="A1" s="33" t="s">
        <v>57</v>
      </c>
    </row>
    <row r="2" spans="1:13" x14ac:dyDescent="0.2">
      <c r="A2" s="2" t="s">
        <v>71</v>
      </c>
    </row>
    <row r="3" spans="1:13" s="1" customFormat="1" ht="77" customHeight="1" x14ac:dyDescent="0.2">
      <c r="A3" s="21"/>
      <c r="B3" s="8"/>
      <c r="C3" s="14"/>
      <c r="D3" s="34"/>
      <c r="E3" s="67" t="s">
        <v>12</v>
      </c>
      <c r="F3" s="68"/>
      <c r="G3" s="67" t="s">
        <v>14</v>
      </c>
      <c r="H3" s="68"/>
      <c r="I3" s="67" t="s">
        <v>10</v>
      </c>
      <c r="J3" s="69"/>
      <c r="K3" s="67" t="s">
        <v>11</v>
      </c>
      <c r="L3" s="69"/>
      <c r="M3" s="14"/>
    </row>
    <row r="4" spans="1:13" s="3" customFormat="1" ht="106" x14ac:dyDescent="0.2">
      <c r="A4" s="7"/>
      <c r="B4" s="6"/>
      <c r="C4" s="10"/>
      <c r="D4" s="10" t="s">
        <v>30</v>
      </c>
      <c r="E4" s="22" t="s">
        <v>37</v>
      </c>
      <c r="F4" s="22" t="s">
        <v>59</v>
      </c>
      <c r="G4" s="23" t="s">
        <v>15</v>
      </c>
      <c r="H4" s="23" t="s">
        <v>13</v>
      </c>
      <c r="I4" s="79" t="s">
        <v>69</v>
      </c>
      <c r="J4" s="79" t="s">
        <v>70</v>
      </c>
      <c r="K4" s="58" t="s">
        <v>39</v>
      </c>
      <c r="L4" s="58" t="s">
        <v>38</v>
      </c>
      <c r="M4" s="10" t="s">
        <v>18</v>
      </c>
    </row>
    <row r="5" spans="1:13" x14ac:dyDescent="0.2">
      <c r="A5" s="63" t="s">
        <v>17</v>
      </c>
      <c r="B5" s="64" t="s">
        <v>0</v>
      </c>
      <c r="C5" s="65" t="s">
        <v>1</v>
      </c>
      <c r="D5" s="66">
        <v>10</v>
      </c>
      <c r="E5" s="66">
        <v>5</v>
      </c>
      <c r="F5" s="66">
        <v>15</v>
      </c>
      <c r="G5" s="66">
        <v>5</v>
      </c>
      <c r="H5" s="66">
        <v>15</v>
      </c>
      <c r="I5" s="66">
        <v>20</v>
      </c>
      <c r="J5" s="66">
        <v>20</v>
      </c>
      <c r="K5" s="66">
        <v>5</v>
      </c>
      <c r="L5" s="66">
        <v>5</v>
      </c>
      <c r="M5" s="64"/>
    </row>
    <row r="6" spans="1:13" x14ac:dyDescent="0.2">
      <c r="A6" s="4" t="s">
        <v>2</v>
      </c>
      <c r="B6" s="59"/>
      <c r="C6" s="60">
        <f t="shared" ref="C6:C21" si="0">SUM(D6:M6)/10</f>
        <v>0</v>
      </c>
      <c r="D6" s="61"/>
      <c r="E6" s="61"/>
      <c r="F6" s="61"/>
      <c r="G6" s="61"/>
      <c r="H6" s="61"/>
      <c r="I6" s="61"/>
      <c r="J6" s="61"/>
      <c r="K6" s="61"/>
      <c r="L6" s="61"/>
      <c r="M6" s="62"/>
    </row>
    <row r="7" spans="1:13" x14ac:dyDescent="0.2">
      <c r="A7" s="4" t="s">
        <v>3</v>
      </c>
      <c r="B7" s="5"/>
      <c r="C7" s="37">
        <f t="shared" si="0"/>
        <v>0</v>
      </c>
      <c r="D7" s="36"/>
      <c r="E7" s="36"/>
      <c r="F7" s="36"/>
      <c r="G7" s="36"/>
      <c r="H7" s="36"/>
      <c r="I7" s="36"/>
      <c r="J7" s="36"/>
      <c r="K7" s="36"/>
      <c r="L7" s="36"/>
      <c r="M7" s="35"/>
    </row>
    <row r="8" spans="1:13" x14ac:dyDescent="0.2">
      <c r="A8" s="4" t="s">
        <v>31</v>
      </c>
      <c r="B8" s="59"/>
      <c r="C8" s="60">
        <f t="shared" ref="C8" si="1">SUM(D8:M8)/10</f>
        <v>0</v>
      </c>
      <c r="D8" s="61"/>
      <c r="E8" s="61"/>
      <c r="F8" s="61"/>
      <c r="G8" s="61"/>
      <c r="H8" s="61"/>
      <c r="I8" s="61"/>
      <c r="J8" s="61"/>
      <c r="K8" s="61"/>
      <c r="L8" s="61"/>
      <c r="M8" s="62"/>
    </row>
    <row r="9" spans="1:13" x14ac:dyDescent="0.2">
      <c r="A9" s="4" t="s">
        <v>4</v>
      </c>
      <c r="B9" s="5"/>
      <c r="C9" s="37">
        <f t="shared" si="0"/>
        <v>0</v>
      </c>
      <c r="D9" s="36"/>
      <c r="E9" s="36"/>
      <c r="F9" s="36"/>
      <c r="G9" s="36"/>
      <c r="H9" s="36"/>
      <c r="I9" s="36"/>
      <c r="J9" s="36"/>
      <c r="K9" s="36"/>
      <c r="L9" s="36"/>
      <c r="M9" s="35"/>
    </row>
    <row r="10" spans="1:13" x14ac:dyDescent="0.2">
      <c r="A10" s="4" t="s">
        <v>5</v>
      </c>
      <c r="B10" s="59"/>
      <c r="C10" s="60">
        <f t="shared" ref="C10" si="2">SUM(D10:M10)/10</f>
        <v>0</v>
      </c>
      <c r="D10" s="61"/>
      <c r="E10" s="61"/>
      <c r="F10" s="61"/>
      <c r="G10" s="61"/>
      <c r="H10" s="61"/>
      <c r="I10" s="61"/>
      <c r="J10" s="61"/>
      <c r="K10" s="61"/>
      <c r="L10" s="61"/>
      <c r="M10" s="62"/>
    </row>
    <row r="11" spans="1:13" x14ac:dyDescent="0.2">
      <c r="A11" s="4" t="s">
        <v>32</v>
      </c>
      <c r="B11" s="5"/>
      <c r="C11" s="37">
        <f t="shared" si="0"/>
        <v>0</v>
      </c>
      <c r="D11" s="36"/>
      <c r="E11" s="36"/>
      <c r="F11" s="36"/>
      <c r="G11" s="36"/>
      <c r="H11" s="36"/>
      <c r="I11" s="36"/>
      <c r="J11" s="36"/>
      <c r="K11" s="36"/>
      <c r="L11" s="36"/>
      <c r="M11" s="35"/>
    </row>
    <row r="12" spans="1:13" x14ac:dyDescent="0.2">
      <c r="A12" s="4" t="s">
        <v>7</v>
      </c>
      <c r="B12" s="59"/>
      <c r="C12" s="60">
        <f t="shared" ref="C12" si="3">SUM(D12:M12)/10</f>
        <v>0</v>
      </c>
      <c r="D12" s="61"/>
      <c r="E12" s="61"/>
      <c r="F12" s="61"/>
      <c r="G12" s="61"/>
      <c r="H12" s="61"/>
      <c r="I12" s="61"/>
      <c r="J12" s="61"/>
      <c r="K12" s="61"/>
      <c r="L12" s="61"/>
      <c r="M12" s="62"/>
    </row>
    <row r="13" spans="1:13" x14ac:dyDescent="0.2">
      <c r="A13" s="4" t="s">
        <v>33</v>
      </c>
      <c r="B13" s="5"/>
      <c r="C13" s="37">
        <f t="shared" si="0"/>
        <v>0</v>
      </c>
      <c r="D13" s="36"/>
      <c r="E13" s="36"/>
      <c r="F13" s="36"/>
      <c r="G13" s="36"/>
      <c r="H13" s="36"/>
      <c r="I13" s="36"/>
      <c r="J13" s="36"/>
      <c r="K13" s="36"/>
      <c r="L13" s="36"/>
      <c r="M13" s="35"/>
    </row>
    <row r="14" spans="1:13" x14ac:dyDescent="0.2">
      <c r="A14" s="4" t="s">
        <v>8</v>
      </c>
      <c r="B14" s="59"/>
      <c r="C14" s="60">
        <f t="shared" ref="C14" si="4">SUM(D14:M14)/10</f>
        <v>0</v>
      </c>
      <c r="D14" s="61"/>
      <c r="E14" s="61"/>
      <c r="F14" s="61"/>
      <c r="G14" s="61"/>
      <c r="H14" s="61"/>
      <c r="I14" s="61"/>
      <c r="J14" s="61"/>
      <c r="K14" s="61"/>
      <c r="L14" s="61"/>
      <c r="M14" s="62"/>
    </row>
    <row r="15" spans="1:13" x14ac:dyDescent="0.2">
      <c r="A15" s="4" t="s">
        <v>34</v>
      </c>
      <c r="B15" s="5"/>
      <c r="C15" s="37">
        <f t="shared" si="0"/>
        <v>0</v>
      </c>
      <c r="D15" s="36"/>
      <c r="E15" s="36"/>
      <c r="F15" s="36"/>
      <c r="G15" s="36"/>
      <c r="H15" s="36"/>
      <c r="I15" s="36"/>
      <c r="J15" s="36"/>
      <c r="K15" s="36"/>
      <c r="L15" s="36"/>
      <c r="M15" s="35"/>
    </row>
    <row r="16" spans="1:13" x14ac:dyDescent="0.2">
      <c r="A16" s="4" t="s">
        <v>35</v>
      </c>
      <c r="B16" s="59"/>
      <c r="C16" s="60">
        <f t="shared" ref="C16" si="5">SUM(D16:M16)/10</f>
        <v>0</v>
      </c>
      <c r="D16" s="61"/>
      <c r="E16" s="61"/>
      <c r="F16" s="61"/>
      <c r="G16" s="61"/>
      <c r="H16" s="61"/>
      <c r="I16" s="61"/>
      <c r="J16" s="61"/>
      <c r="K16" s="61"/>
      <c r="L16" s="61"/>
      <c r="M16" s="62"/>
    </row>
    <row r="17" spans="1:13" x14ac:dyDescent="0.2">
      <c r="A17" s="4" t="s">
        <v>25</v>
      </c>
      <c r="B17" s="5"/>
      <c r="C17" s="37">
        <f t="shared" si="0"/>
        <v>0</v>
      </c>
      <c r="D17" s="36"/>
      <c r="E17" s="36"/>
      <c r="F17" s="36"/>
      <c r="G17" s="36"/>
      <c r="H17" s="36"/>
      <c r="I17" s="36"/>
      <c r="J17" s="36"/>
      <c r="K17" s="36"/>
      <c r="L17" s="36"/>
      <c r="M17" s="35"/>
    </row>
    <row r="18" spans="1:13" x14ac:dyDescent="0.2">
      <c r="A18" s="4" t="s">
        <v>36</v>
      </c>
      <c r="B18" s="59"/>
      <c r="C18" s="60">
        <f t="shared" ref="C18" si="6">SUM(D18:M18)/10</f>
        <v>0</v>
      </c>
      <c r="D18" s="61"/>
      <c r="E18" s="61"/>
      <c r="F18" s="61"/>
      <c r="G18" s="61"/>
      <c r="H18" s="61"/>
      <c r="I18" s="61"/>
      <c r="J18" s="61"/>
      <c r="K18" s="61"/>
      <c r="L18" s="61"/>
      <c r="M18" s="62"/>
    </row>
    <row r="19" spans="1:13" x14ac:dyDescent="0.2">
      <c r="A19" s="4" t="s">
        <v>26</v>
      </c>
      <c r="B19" s="5"/>
      <c r="C19" s="37">
        <f t="shared" si="0"/>
        <v>0</v>
      </c>
      <c r="D19" s="36"/>
      <c r="E19" s="36"/>
      <c r="F19" s="36"/>
      <c r="G19" s="36"/>
      <c r="H19" s="36"/>
      <c r="I19" s="36"/>
      <c r="J19" s="36"/>
      <c r="K19" s="36"/>
      <c r="L19" s="36"/>
      <c r="M19" s="35"/>
    </row>
    <row r="20" spans="1:13" x14ac:dyDescent="0.2">
      <c r="A20" s="4" t="s">
        <v>27</v>
      </c>
      <c r="B20" s="59"/>
      <c r="C20" s="60">
        <f t="shared" ref="C20" si="7">SUM(D20:M20)/10</f>
        <v>0</v>
      </c>
      <c r="D20" s="61"/>
      <c r="E20" s="61"/>
      <c r="F20" s="61"/>
      <c r="G20" s="61"/>
      <c r="H20" s="61"/>
      <c r="I20" s="61"/>
      <c r="J20" s="61"/>
      <c r="K20" s="61"/>
      <c r="L20" s="61"/>
      <c r="M20" s="62"/>
    </row>
    <row r="21" spans="1:13" x14ac:dyDescent="0.2">
      <c r="A21" s="4" t="s">
        <v>28</v>
      </c>
      <c r="B21" s="9"/>
      <c r="C21" s="37">
        <f t="shared" si="0"/>
        <v>0</v>
      </c>
      <c r="D21" s="36"/>
      <c r="E21" s="36"/>
      <c r="F21" s="36"/>
      <c r="G21" s="36"/>
      <c r="H21" s="36"/>
      <c r="I21" s="36"/>
      <c r="J21" s="36"/>
      <c r="K21" s="36"/>
      <c r="L21" s="36"/>
      <c r="M21" s="35"/>
    </row>
  </sheetData>
  <mergeCells count="4">
    <mergeCell ref="K3:L3"/>
    <mergeCell ref="I3:J3"/>
    <mergeCell ref="E3:F3"/>
    <mergeCell ref="G3:H3"/>
  </mergeCells>
  <pageMargins left="0.7" right="0.7" top="0.75" bottom="0.75" header="0.3" footer="0.3"/>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
  <sheetViews>
    <sheetView topLeftCell="A10" zoomScale="200" workbookViewId="0">
      <selection activeCell="A11" sqref="A11:XFD11"/>
    </sheetView>
  </sheetViews>
  <sheetFormatPr baseColWidth="10" defaultColWidth="8.83203125" defaultRowHeight="15" outlineLevelRow="1" x14ac:dyDescent="0.2"/>
  <cols>
    <col min="1" max="1" width="16.1640625" customWidth="1"/>
    <col min="2" max="2" width="7.33203125" style="11" customWidth="1"/>
    <col min="3" max="3" width="7" style="11" customWidth="1"/>
    <col min="4" max="4" width="68.5" style="1" customWidth="1"/>
    <col min="5" max="5" width="83" customWidth="1"/>
  </cols>
  <sheetData>
    <row r="1" spans="1:5" ht="26" x14ac:dyDescent="0.3">
      <c r="A1" s="33" t="s">
        <v>29</v>
      </c>
    </row>
    <row r="2" spans="1:5" x14ac:dyDescent="0.2">
      <c r="A2" s="2" t="s">
        <v>53</v>
      </c>
    </row>
    <row r="3" spans="1:5" s="1" customFormat="1" ht="33" thickBot="1" x14ac:dyDescent="0.25">
      <c r="A3" s="56" t="s">
        <v>6</v>
      </c>
      <c r="B3" s="57" t="s">
        <v>40</v>
      </c>
      <c r="C3" s="57" t="s">
        <v>41</v>
      </c>
      <c r="D3" s="56" t="s">
        <v>55</v>
      </c>
      <c r="E3" s="41" t="s">
        <v>47</v>
      </c>
    </row>
    <row r="4" spans="1:5" s="24" customFormat="1" ht="48" hidden="1" outlineLevel="1" x14ac:dyDescent="0.2">
      <c r="A4" s="54" t="s">
        <v>9</v>
      </c>
      <c r="B4" s="55"/>
      <c r="C4" s="55"/>
      <c r="D4" s="54" t="s">
        <v>16</v>
      </c>
      <c r="E4" s="25"/>
    </row>
    <row r="5" spans="1:5" s="24" customFormat="1" ht="96" hidden="1" outlineLevel="1" x14ac:dyDescent="0.2">
      <c r="A5" s="43" t="s">
        <v>22</v>
      </c>
      <c r="B5" s="42"/>
      <c r="C5" s="42"/>
      <c r="D5" s="43" t="s">
        <v>54</v>
      </c>
    </row>
    <row r="6" spans="1:5" s="24" customFormat="1" ht="32" hidden="1" outlineLevel="1" x14ac:dyDescent="0.2">
      <c r="A6" s="43" t="s">
        <v>24</v>
      </c>
      <c r="B6" s="42"/>
      <c r="C6" s="42"/>
      <c r="D6" s="43" t="s">
        <v>23</v>
      </c>
    </row>
    <row r="7" spans="1:5" ht="16" collapsed="1" thickTop="1" x14ac:dyDescent="0.2">
      <c r="A7" s="1"/>
    </row>
    <row r="8" spans="1:5" ht="15" customHeight="1" thickBot="1" x14ac:dyDescent="0.25">
      <c r="A8" s="50" t="s">
        <v>12</v>
      </c>
      <c r="B8" s="12"/>
      <c r="C8" s="12"/>
      <c r="D8" s="13"/>
      <c r="E8" t="s">
        <v>20</v>
      </c>
    </row>
    <row r="9" spans="1:5" ht="81" thickTop="1" x14ac:dyDescent="0.2">
      <c r="A9" s="16" t="s">
        <v>37</v>
      </c>
      <c r="B9" s="15">
        <v>5</v>
      </c>
      <c r="C9" s="15">
        <v>5</v>
      </c>
      <c r="D9" s="38" t="s">
        <v>48</v>
      </c>
      <c r="E9" s="26" t="s">
        <v>43</v>
      </c>
    </row>
    <row r="10" spans="1:5" ht="48" x14ac:dyDescent="0.2">
      <c r="A10" s="16" t="s">
        <v>59</v>
      </c>
      <c r="B10" s="15">
        <v>20</v>
      </c>
      <c r="C10" s="15">
        <v>15</v>
      </c>
      <c r="D10" s="38" t="s">
        <v>61</v>
      </c>
      <c r="E10" s="28" t="s">
        <v>60</v>
      </c>
    </row>
    <row r="11" spans="1:5" ht="15" customHeight="1" x14ac:dyDescent="0.2">
      <c r="A11" s="30"/>
      <c r="B11" s="29"/>
      <c r="C11" s="29"/>
      <c r="D11" s="30"/>
      <c r="E11" s="27"/>
    </row>
    <row r="12" spans="1:5" ht="15" customHeight="1" thickBot="1" x14ac:dyDescent="0.25">
      <c r="A12" s="51" t="s">
        <v>14</v>
      </c>
      <c r="B12" s="31"/>
      <c r="C12" s="31"/>
      <c r="D12" s="32"/>
      <c r="E12" s="27" t="s">
        <v>19</v>
      </c>
    </row>
    <row r="13" spans="1:5" ht="33" customHeight="1" thickTop="1" x14ac:dyDescent="0.2">
      <c r="A13" s="18" t="s">
        <v>15</v>
      </c>
      <c r="B13" s="17">
        <v>5</v>
      </c>
      <c r="C13" s="17">
        <v>5</v>
      </c>
      <c r="D13" s="39" t="s">
        <v>49</v>
      </c>
      <c r="E13" s="26" t="s">
        <v>44</v>
      </c>
    </row>
    <row r="14" spans="1:5" ht="80" x14ac:dyDescent="0.2">
      <c r="A14" s="20" t="s">
        <v>13</v>
      </c>
      <c r="B14" s="19">
        <v>20</v>
      </c>
      <c r="C14" s="19">
        <v>15</v>
      </c>
      <c r="D14" s="40" t="s">
        <v>50</v>
      </c>
      <c r="E14" s="28" t="s">
        <v>42</v>
      </c>
    </row>
    <row r="15" spans="1:5" ht="15" customHeight="1" x14ac:dyDescent="0.2">
      <c r="A15" s="30"/>
      <c r="B15" s="29"/>
      <c r="C15" s="29"/>
      <c r="D15" s="30"/>
      <c r="E15" s="27"/>
    </row>
    <row r="16" spans="1:5" ht="15" customHeight="1" thickBot="1" x14ac:dyDescent="0.25">
      <c r="A16" s="70" t="s">
        <v>10</v>
      </c>
      <c r="B16" s="71"/>
      <c r="C16" s="71"/>
      <c r="D16" s="72"/>
      <c r="E16" s="27" t="s">
        <v>62</v>
      </c>
    </row>
    <row r="17" spans="1:5" ht="65" thickTop="1" x14ac:dyDescent="0.2">
      <c r="A17" s="73" t="s">
        <v>63</v>
      </c>
      <c r="B17" s="74">
        <v>15</v>
      </c>
      <c r="C17" s="74">
        <v>20</v>
      </c>
      <c r="D17" s="75" t="s">
        <v>64</v>
      </c>
      <c r="E17" s="26" t="s">
        <v>65</v>
      </c>
    </row>
    <row r="18" spans="1:5" ht="80" x14ac:dyDescent="0.2">
      <c r="A18" s="76" t="s">
        <v>66</v>
      </c>
      <c r="B18" s="77">
        <v>15</v>
      </c>
      <c r="C18" s="77">
        <v>20</v>
      </c>
      <c r="D18" s="78" t="s">
        <v>67</v>
      </c>
      <c r="E18" s="26" t="s">
        <v>68</v>
      </c>
    </row>
    <row r="19" spans="1:5" ht="15" customHeight="1" x14ac:dyDescent="0.2">
      <c r="A19" s="30"/>
      <c r="B19" s="29"/>
      <c r="C19" s="29"/>
      <c r="D19" s="30"/>
      <c r="E19" s="27"/>
    </row>
    <row r="20" spans="1:5" ht="17" thickBot="1" x14ac:dyDescent="0.25">
      <c r="A20" s="52" t="s">
        <v>11</v>
      </c>
      <c r="B20" s="46"/>
      <c r="C20" s="46"/>
      <c r="D20" s="47"/>
      <c r="E20" s="27" t="s">
        <v>21</v>
      </c>
    </row>
    <row r="21" spans="1:5" ht="33" thickTop="1" x14ac:dyDescent="0.2">
      <c r="A21" s="49" t="s">
        <v>39</v>
      </c>
      <c r="B21" s="48">
        <v>5</v>
      </c>
      <c r="C21" s="48">
        <v>5</v>
      </c>
      <c r="D21" s="49" t="s">
        <v>51</v>
      </c>
      <c r="E21" s="26" t="s">
        <v>45</v>
      </c>
    </row>
    <row r="22" spans="1:5" ht="80" x14ac:dyDescent="0.2">
      <c r="A22" s="49" t="s">
        <v>38</v>
      </c>
      <c r="B22" s="48">
        <v>5</v>
      </c>
      <c r="C22" s="48">
        <v>5</v>
      </c>
      <c r="D22" s="49" t="s">
        <v>52</v>
      </c>
      <c r="E22" s="26" t="s">
        <v>46</v>
      </c>
    </row>
    <row r="23" spans="1:5" x14ac:dyDescent="0.2">
      <c r="A23" s="1"/>
    </row>
    <row r="24" spans="1:5" ht="16" x14ac:dyDescent="0.2">
      <c r="A24" s="53" t="s">
        <v>1</v>
      </c>
      <c r="B24" s="44">
        <f>1+SUM(B8:B22)/10</f>
        <v>10</v>
      </c>
      <c r="C24" s="44">
        <f>1+SUM(C8:C22)/10</f>
        <v>10</v>
      </c>
      <c r="D24" s="45" t="s">
        <v>56</v>
      </c>
    </row>
  </sheetData>
  <pageMargins left="0.7" right="0.7" top="0.75" bottom="0.75" header="0.3" footer="0.3"/>
  <pageSetup paperSize="9"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B0D080B21FC2644A44B3EE466839FCA" ma:contentTypeVersion="14" ma:contentTypeDescription="Create a new document." ma:contentTypeScope="" ma:versionID="d2ee96b2c4a67ca35582eb84f7eef171">
  <xsd:schema xmlns:xsd="http://www.w3.org/2001/XMLSchema" xmlns:xs="http://www.w3.org/2001/XMLSchema" xmlns:p="http://schemas.microsoft.com/office/2006/metadata/properties" xmlns:ns2="b60b54a5-8c6f-478f-98ee-5d9fe6b7961c" xmlns:ns3="8d379a18-3696-460b-b6bd-f03ca624bc37" targetNamespace="http://schemas.microsoft.com/office/2006/metadata/properties" ma:root="true" ma:fieldsID="10eb2fa0012fee586086e9f837bf4adc" ns2:_="" ns3:_="">
    <xsd:import namespace="b60b54a5-8c6f-478f-98ee-5d9fe6b7961c"/>
    <xsd:import namespace="8d379a18-3696-460b-b6bd-f03ca624bc3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0b54a5-8c6f-478f-98ee-5d9fe6b796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fff5110-979e-400e-93fd-440e117be15d"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d379a18-3696-460b-b6bd-f03ca624bc37"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6895852-8d51-4c85-b61d-3ee032f9b341}" ma:internalName="TaxCatchAll" ma:showField="CatchAllData" ma:web="8d379a18-3696-460b-b6bd-f03ca624bc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0b54a5-8c6f-478f-98ee-5d9fe6b7961c">
      <Terms xmlns="http://schemas.microsoft.com/office/infopath/2007/PartnerControls"/>
    </lcf76f155ced4ddcb4097134ff3c332f>
    <TaxCatchAll xmlns="8d379a18-3696-460b-b6bd-f03ca624bc37" xsi:nil="true"/>
  </documentManagement>
</p:properties>
</file>

<file path=customXml/itemProps1.xml><?xml version="1.0" encoding="utf-8"?>
<ds:datastoreItem xmlns:ds="http://schemas.openxmlformats.org/officeDocument/2006/customXml" ds:itemID="{142A6AD0-5AEB-408A-90AA-477FC3B48F2C}">
  <ds:schemaRefs>
    <ds:schemaRef ds:uri="http://schemas.microsoft.com/sharepoint/v3/contenttype/forms"/>
  </ds:schemaRefs>
</ds:datastoreItem>
</file>

<file path=customXml/itemProps2.xml><?xml version="1.0" encoding="utf-8"?>
<ds:datastoreItem xmlns:ds="http://schemas.openxmlformats.org/officeDocument/2006/customXml" ds:itemID="{2482C144-BC25-4191-B417-370B72CE8C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0b54a5-8c6f-478f-98ee-5d9fe6b7961c"/>
    <ds:schemaRef ds:uri="8d379a18-3696-460b-b6bd-f03ca624bc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5DA4053-2AF6-4A75-820B-D9AC6D228E51}">
  <ds:schemaRefs>
    <ds:schemaRef ds:uri="http://schemas.microsoft.com/office/2006/metadata/properties"/>
    <ds:schemaRef ds:uri="http://www.w3.org/XML/1998/namespace"/>
    <ds:schemaRef ds:uri="http://purl.org/dc/terms/"/>
    <ds:schemaRef ds:uri="http://purl.org/dc/elements/1.1/"/>
    <ds:schemaRef ds:uri="http://schemas.microsoft.com/office/infopath/2007/PartnerControls"/>
    <ds:schemaRef ds:uri="b60b54a5-8c6f-478f-98ee-5d9fe6b7961c"/>
    <ds:schemaRef ds:uri="http://schemas.microsoft.com/office/2006/documentManagement/types"/>
    <ds:schemaRef ds:uri="http://schemas.openxmlformats.org/package/2006/metadata/core-properties"/>
    <ds:schemaRef ds:uri="8d379a18-3696-460b-b6bd-f03ca624bc37"/>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Score-havo</vt:lpstr>
      <vt:lpstr>Score-vwo</vt:lpstr>
      <vt:lpstr>Normering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Urban</dc:creator>
  <cp:lastModifiedBy>Sander van Geest</cp:lastModifiedBy>
  <cp:lastPrinted>2019-02-14T09:50:36Z</cp:lastPrinted>
  <dcterms:created xsi:type="dcterms:W3CDTF">2010-02-01T17:26:40Z</dcterms:created>
  <dcterms:modified xsi:type="dcterms:W3CDTF">2025-12-26T22:00:56Z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0x010100AB0D080B21FC2644A44B3EE466839FCA</vt:lpwstr>
  </property>
  <property fmtid="{D5CDD505-2E9C-101B-9397-08002B2CF9AE}" pid="3" name="MediaServiceImageTags">
    <vt:lpwstr/>
  </property>
</Properties>
</file>